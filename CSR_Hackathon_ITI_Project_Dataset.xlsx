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marata Ghag\Downloads\"/>
    </mc:Choice>
  </mc:AlternateContent>
  <xr:revisionPtr revIDLastSave="0" documentId="13_ncr:1_{682503D9-92A8-498B-AD07-08B16502F241}" xr6:coauthVersionLast="36" xr6:coauthVersionMax="36" xr10:uidLastSave="{00000000-0000-0000-0000-000000000000}"/>
  <bookViews>
    <workbookView xWindow="0" yWindow="0" windowWidth="19200" windowHeight="5650" xr2:uid="{00000000-000D-0000-FFFF-FFFF00000000}"/>
  </bookViews>
  <sheets>
    <sheet name="Trainee Profiles" sheetId="2" r:id="rId1"/>
    <sheet name="Project Catalog" sheetId="3" r:id="rId2"/>
    <sheet name="Sample Submissions" sheetId="4" r:id="rId3"/>
    <sheet name="Evaluation Rubrics &amp; Scores" sheetId="5" r:id="rId4"/>
  </sheets>
  <calcPr calcId="191029"/>
</workbook>
</file>

<file path=xl/calcChain.xml><?xml version="1.0" encoding="utf-8"?>
<calcChain xmlns="http://schemas.openxmlformats.org/spreadsheetml/2006/main">
  <c r="G13" i="5" l="1"/>
  <c r="G12" i="5"/>
  <c r="G11" i="5"/>
  <c r="G10" i="5"/>
  <c r="G9" i="5"/>
  <c r="G8" i="5"/>
  <c r="G7" i="5"/>
  <c r="G6" i="5"/>
  <c r="G5" i="5"/>
  <c r="G4" i="5"/>
</calcChain>
</file>

<file path=xl/sharedStrings.xml><?xml version="1.0" encoding="utf-8"?>
<sst xmlns="http://schemas.openxmlformats.org/spreadsheetml/2006/main" count="296" uniqueCount="173">
  <si>
    <t>ITI Trainee Reference Dataset</t>
  </si>
  <si>
    <t>Trainee ID</t>
  </si>
  <si>
    <t>Full Name</t>
  </si>
  <si>
    <t>Gender</t>
  </si>
  <si>
    <t>ITI Trade</t>
  </si>
  <si>
    <t>Trade Theory Score (%)</t>
  </si>
  <si>
    <t>Workshop Practical Score (%)</t>
  </si>
  <si>
    <t>Safety Compliance Score (%)</t>
  </si>
  <si>
    <t>Core Skills Demonstrated</t>
  </si>
  <si>
    <t>Primary Career Interest</t>
  </si>
  <si>
    <t>Allocation Status</t>
  </si>
  <si>
    <t>TRN-EL-001</t>
  </si>
  <si>
    <t>Ramesh Kumar</t>
  </si>
  <si>
    <t>Male</t>
  </si>
  <si>
    <t>Electrician</t>
  </si>
  <si>
    <t>Tata STRIVE SDC - Pune</t>
  </si>
  <si>
    <t>Circuit Wiring, PLC Logic, Multimeter</t>
  </si>
  <si>
    <t>Industrial Automation &amp; Solar</t>
  </si>
  <si>
    <t>Unassigned</t>
  </si>
  <si>
    <t>TRN-EL-002</t>
  </si>
  <si>
    <t>Priya Sharma</t>
  </si>
  <si>
    <t>Female</t>
  </si>
  <si>
    <t>Solar Wiring, Microcontrollers, IoT</t>
  </si>
  <si>
    <t>Renewable Energy Systems</t>
  </si>
  <si>
    <t>TRN-FT-003</t>
  </si>
  <si>
    <t>Amit Jadhav</t>
  </si>
  <si>
    <t>Fitter</t>
  </si>
  <si>
    <t>Tata STRIVE SDC - Mumbai</t>
  </si>
  <si>
    <t>Lathe Machine, Fitting, Vernier Caliper</t>
  </si>
  <si>
    <t>Precision Mechanical Maintenance</t>
  </si>
  <si>
    <t>TRN-FT-004</t>
  </si>
  <si>
    <t>Suresh Patil</t>
  </si>
  <si>
    <t>Basic Fitting, Drilling, Grinding</t>
  </si>
  <si>
    <t>General Workshop Repair</t>
  </si>
  <si>
    <t>TRN-WD-005</t>
  </si>
  <si>
    <t>Pooja Verma</t>
  </si>
  <si>
    <t>Welder</t>
  </si>
  <si>
    <t>Tata STRIVE SDC - Nashik</t>
  </si>
  <si>
    <t>TIG Welding, MIG Welding, Blueprint Reading</t>
  </si>
  <si>
    <t>Structural Fabrication</t>
  </si>
  <si>
    <t>TRN-WD-006</t>
  </si>
  <si>
    <t>Rahul Shinde</t>
  </si>
  <si>
    <t>ARC Welding, Gas Cutting, Joint Prep</t>
  </si>
  <si>
    <t>Pipe &amp; Sheet Metal Welding</t>
  </si>
  <si>
    <t>TRN-CP-007</t>
  </si>
  <si>
    <t>Sneha Kulkarni</t>
  </si>
  <si>
    <t>COPA</t>
  </si>
  <si>
    <t>Tata STRIVE SDC - Thane</t>
  </si>
  <si>
    <t>Python, Web Design, Excel Automation</t>
  </si>
  <si>
    <t>IT Helpdesk &amp; Software QA</t>
  </si>
  <si>
    <t>TRN-CP-008</t>
  </si>
  <si>
    <t>Vikas More</t>
  </si>
  <si>
    <t>HTML/CSS, Tally Prime, Database Ops</t>
  </si>
  <si>
    <t>Data Entry &amp; Office Tech</t>
  </si>
  <si>
    <t>TRN-AU-009</t>
  </si>
  <si>
    <t>Aniket Pawar</t>
  </si>
  <si>
    <t>Mechanic Motor Vehicle</t>
  </si>
  <si>
    <t>EV Battery Maintenance, Engine Overhaul</t>
  </si>
  <si>
    <t>Electric Vehicle Servicing</t>
  </si>
  <si>
    <t>TRN-AU-010</t>
  </si>
  <si>
    <t>Neha Deshmukh</t>
  </si>
  <si>
    <t>Brake Systems, ECU Diagnostics</t>
  </si>
  <si>
    <t>Automotive Diagnostics</t>
  </si>
  <si>
    <t>TRN-SL-011</t>
  </si>
  <si>
    <t>Kiran Thorat</t>
  </si>
  <si>
    <t>Solar Technician</t>
  </si>
  <si>
    <t>Tata STRIVE SDC - Nagpur</t>
  </si>
  <si>
    <t>PV Array Installation, Inverter Setup</t>
  </si>
  <si>
    <t>Rooftop Solar EPC</t>
  </si>
  <si>
    <t>TRN-SL-012</t>
  </si>
  <si>
    <t>Ganesh Gaikwad</t>
  </si>
  <si>
    <t>Solar Wiring, Battery Bank Wiring</t>
  </si>
  <si>
    <t>Solar Pump Maintenance</t>
  </si>
  <si>
    <t>Project Catalog Dataset (CSR Trade Projects)</t>
  </si>
  <si>
    <t>Project ID</t>
  </si>
  <si>
    <t>Project Title</t>
  </si>
  <si>
    <t>Target Trade</t>
  </si>
  <si>
    <t>Difficulty Level</t>
  </si>
  <si>
    <t>Required Prerequisite Skills</t>
  </si>
  <si>
    <t>Min Practical Score Required (%)</t>
  </si>
  <si>
    <t>Max Trainee Capacity</t>
  </si>
  <si>
    <t>Current Allocations</t>
  </si>
  <si>
    <t>Project Category / Sponsor Goal</t>
  </si>
  <si>
    <t>PRJ-EL-101</t>
  </si>
  <si>
    <t>Dual-Axis Automatic Solar Tracking System</t>
  </si>
  <si>
    <t>Advanced</t>
  </si>
  <si>
    <t>Solar Wiring, Circuit Design, Microcontrollers</t>
  </si>
  <si>
    <t>CSR Green Energy Drive</t>
  </si>
  <si>
    <t>PRJ-EL-102</t>
  </si>
  <si>
    <t>Smart Home Automation Board with Relay Control</t>
  </si>
  <si>
    <t>Intermediate</t>
  </si>
  <si>
    <t>Circuit Wiring, Switches, Relay Modules</t>
  </si>
  <si>
    <t>CSR Digital Electronics</t>
  </si>
  <si>
    <t>PRJ-FT-201</t>
  </si>
  <si>
    <t>Precision Mini Hydraulic Bench Press Model</t>
  </si>
  <si>
    <t>Lathe Turning, Hydraulic Assembly, Fitting</t>
  </si>
  <si>
    <t>CSR Workshop Innovation</t>
  </si>
  <si>
    <t>PRJ-FT-202</t>
  </si>
  <si>
    <t>Modular Metal Storage Cabinet with Lock System</t>
  </si>
  <si>
    <t>Sheet Metal Cutting, Drilling, Fitting</t>
  </si>
  <si>
    <t>CSR Infrastructure Aid</t>
  </si>
  <si>
    <t>PRJ-WD-301</t>
  </si>
  <si>
    <t>Heavy Duty Tubular Steel Workbench Fabrication</t>
  </si>
  <si>
    <t>TIG/MIG Welding, Joint Grinding, Blueprint</t>
  </si>
  <si>
    <t>CSR Vocational Skill Grant</t>
  </si>
  <si>
    <t>PRJ-CP-401</t>
  </si>
  <si>
    <t>CSR Center Student &amp; inventory Management Web Portal</t>
  </si>
  <si>
    <t>Python, HTML/CSS, SQLite Database</t>
  </si>
  <si>
    <t>CSR Digitalization Initiative</t>
  </si>
  <si>
    <t>PRJ-AU-501</t>
  </si>
  <si>
    <t>EV Battery Management &amp; Diagnostics Test Rig</t>
  </si>
  <si>
    <t>EV Battery Wiring, ECU Scanners, Multimeter</t>
  </si>
  <si>
    <t>CSR Clean Mobility Mission</t>
  </si>
  <si>
    <t>PRJ-SL-601</t>
  </si>
  <si>
    <t>Off-Grid Solar Powered Agri-Pumping Unit</t>
  </si>
  <si>
    <t>PV Array Wiring, DC Motors, Inverters</t>
  </si>
  <si>
    <t>CSR Rural Water Innovation</t>
  </si>
  <si>
    <t>Sample Trainee Submissions Dataset</t>
  </si>
  <si>
    <t>Submission ID</t>
  </si>
  <si>
    <t>Submission Date</t>
  </si>
  <si>
    <t>Video Walkthrough URL (Mock)</t>
  </si>
  <si>
    <t>Schematic / Report URL (Mock)</t>
  </si>
  <si>
    <t>Workshop Logbook Hours</t>
  </si>
  <si>
    <t>Bill of Materials Cost (INR)</t>
  </si>
  <si>
    <t>Submission Status</t>
  </si>
  <si>
    <t>SUB-2026-001</t>
  </si>
  <si>
    <t>2026-10-05</t>
  </si>
  <si>
    <t>Submitted &amp; Pending Evaluation</t>
  </si>
  <si>
    <t>SUB-2026-002</t>
  </si>
  <si>
    <t>2026-10-06</t>
  </si>
  <si>
    <t>SUB-2026-003</t>
  </si>
  <si>
    <t>2026-10-07</t>
  </si>
  <si>
    <t>SUB-2026-004</t>
  </si>
  <si>
    <t>2026-10-08</t>
  </si>
  <si>
    <t>SUB-2026-005</t>
  </si>
  <si>
    <t>SUB-2026-006</t>
  </si>
  <si>
    <t>2026-10-09</t>
  </si>
  <si>
    <t>SUB-2026-007</t>
  </si>
  <si>
    <t>2026-10-10</t>
  </si>
  <si>
    <t>SUB-2026-008</t>
  </si>
  <si>
    <t>SUB-2026-009</t>
  </si>
  <si>
    <t>2026-10-11</t>
  </si>
  <si>
    <t>SUB-2026-010</t>
  </si>
  <si>
    <t>2026-10-12</t>
  </si>
  <si>
    <t>Sample Project Evaluation &amp; AI Match Output</t>
  </si>
  <si>
    <t>Workmanship &amp; Precision (Max 25)</t>
  </si>
  <si>
    <t>Functional Working Demo (Max 25)</t>
  </si>
  <si>
    <t>Safety &amp; SOP Adherence (Max 15)</t>
  </si>
  <si>
    <t>Logbook &amp; Documentation (Max 15)</t>
  </si>
  <si>
    <t>Viva Voce / Oral Exam (Max 20)</t>
  </si>
  <si>
    <t>Total Score (Max 100)</t>
  </si>
  <si>
    <t>Final Grade</t>
  </si>
  <si>
    <t>AI Recommendation Match Score (%)</t>
  </si>
  <si>
    <t>AI Recommendation Factors / Key Drivers</t>
  </si>
  <si>
    <t>A1 (Exemplary)</t>
  </si>
  <si>
    <t>94% Practical Score Match; High Alignment with Solar Energy Interest; Completed 36 Logbook Hrs</t>
  </si>
  <si>
    <t>A (Excellent)</t>
  </si>
  <si>
    <t>88% Practical Score Match; Strong Wiring &amp; Circuitry Fundamentals; Exceeds Min Prerequisites</t>
  </si>
  <si>
    <t>High Fitting Precision; 85% Practical Score; Mechanical Tool Expertise</t>
  </si>
  <si>
    <t>Top Tier Welding Quality; 92% Practical Score; Strong Blueprint Reading</t>
  </si>
  <si>
    <t>96% Practical Score; Python &amp; Database Expertise; Clean Code Structure</t>
  </si>
  <si>
    <t>Strong EV Diagnostic Knowledge; 89% Practical Score; Good Safety Adherence</t>
  </si>
  <si>
    <t>91% Practical Score; High Rooftop Solar EPC Alignment; Complete Documentation</t>
  </si>
  <si>
    <t>B (Good)</t>
  </si>
  <si>
    <t>72% Practical Score; Satisfies Minimum Benchmarks; Requires Supervision</t>
  </si>
  <si>
    <t>B+ (Very Good)</t>
  </si>
  <si>
    <t>81% Practical Score; Good Joint Finish; Clear Logbook Documentation</t>
  </si>
  <si>
    <t>83% Practical Score; Solid Database Skills; Satisfies Portal Prerequisites</t>
  </si>
  <si>
    <t>ITI Name</t>
  </si>
  <si>
    <t>Problem Statement Doc</t>
  </si>
  <si>
    <t>https://drive.google.com/file/d/1jB5REc_qyfWnoLXyl0dTlrPpqkpNX3by/view?usp=sharing</t>
  </si>
  <si>
    <t>sample url</t>
  </si>
  <si>
    <t>link of Video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</si>
</sst>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\₹#,##0"/>
  </numFmts>
  <fonts count="4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sz val="11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workbookViewId="0">
      <selection activeCell="I12" sqref="I12"/>
    </sheetView>
  </sheetViews>
  <sheetFormatPr defaultRowHeight="14.5"/>
  <cols>
    <col min="1" max="1" width="19" customWidth="1"/>
    <col min="2" max="2" width="18" customWidth="1"/>
    <col min="3" max="3" width="12" customWidth="1"/>
    <col min="4" max="4" width="26" customWidth="1"/>
    <col min="5" max="5" width="28" customWidth="1"/>
    <col min="6" max="6" width="26" customWidth="1"/>
    <col min="7" max="7" width="32" customWidth="1"/>
    <col min="8" max="8" width="31" customWidth="1"/>
    <col min="9" max="9" width="45" customWidth="1"/>
    <col min="10" max="10" width="36" customWidth="1"/>
    <col min="11" max="11" width="21" customWidth="1"/>
  </cols>
  <sheetData>
    <row r="1" spans="1:11" ht="21">
      <c r="A1" s="1" t="s">
        <v>0</v>
      </c>
    </row>
    <row r="3" spans="1:11" s="11" customForma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168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</row>
    <row r="4" spans="1:1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4">
        <v>82</v>
      </c>
      <c r="G4" s="4">
        <v>88</v>
      </c>
      <c r="H4" s="4">
        <v>95</v>
      </c>
      <c r="I4" s="3" t="s">
        <v>16</v>
      </c>
      <c r="J4" s="3" t="s">
        <v>17</v>
      </c>
      <c r="K4" s="3" t="s">
        <v>18</v>
      </c>
    </row>
    <row r="5" spans="1:11">
      <c r="A5" s="2" t="s">
        <v>19</v>
      </c>
      <c r="B5" s="2" t="s">
        <v>20</v>
      </c>
      <c r="C5" s="2" t="s">
        <v>21</v>
      </c>
      <c r="D5" s="2" t="s">
        <v>14</v>
      </c>
      <c r="E5" s="2" t="s">
        <v>15</v>
      </c>
      <c r="F5" s="5">
        <v>91</v>
      </c>
      <c r="G5" s="5">
        <v>94</v>
      </c>
      <c r="H5" s="5">
        <v>98</v>
      </c>
      <c r="I5" s="2" t="s">
        <v>22</v>
      </c>
      <c r="J5" s="2" t="s">
        <v>23</v>
      </c>
      <c r="K5" s="2" t="s">
        <v>18</v>
      </c>
    </row>
    <row r="6" spans="1:11">
      <c r="A6" s="3" t="s">
        <v>24</v>
      </c>
      <c r="B6" s="3" t="s">
        <v>25</v>
      </c>
      <c r="C6" s="3" t="s">
        <v>13</v>
      </c>
      <c r="D6" s="3" t="s">
        <v>26</v>
      </c>
      <c r="E6" s="3" t="s">
        <v>27</v>
      </c>
      <c r="F6" s="4">
        <v>75</v>
      </c>
      <c r="G6" s="4">
        <v>85</v>
      </c>
      <c r="H6" s="4">
        <v>90</v>
      </c>
      <c r="I6" s="3" t="s">
        <v>28</v>
      </c>
      <c r="J6" s="3" t="s">
        <v>29</v>
      </c>
      <c r="K6" s="3" t="s">
        <v>18</v>
      </c>
    </row>
    <row r="7" spans="1:11">
      <c r="A7" s="2" t="s">
        <v>30</v>
      </c>
      <c r="B7" s="2" t="s">
        <v>31</v>
      </c>
      <c r="C7" s="2" t="s">
        <v>13</v>
      </c>
      <c r="D7" s="2" t="s">
        <v>26</v>
      </c>
      <c r="E7" s="2" t="s">
        <v>27</v>
      </c>
      <c r="F7" s="5">
        <v>68</v>
      </c>
      <c r="G7" s="5">
        <v>72</v>
      </c>
      <c r="H7" s="5">
        <v>85</v>
      </c>
      <c r="I7" s="2" t="s">
        <v>32</v>
      </c>
      <c r="J7" s="2" t="s">
        <v>33</v>
      </c>
      <c r="K7" s="2" t="s">
        <v>18</v>
      </c>
    </row>
    <row r="8" spans="1:11">
      <c r="A8" s="3" t="s">
        <v>34</v>
      </c>
      <c r="B8" s="3" t="s">
        <v>35</v>
      </c>
      <c r="C8" s="3" t="s">
        <v>21</v>
      </c>
      <c r="D8" s="3" t="s">
        <v>36</v>
      </c>
      <c r="E8" s="3" t="s">
        <v>37</v>
      </c>
      <c r="F8" s="4">
        <v>88</v>
      </c>
      <c r="G8" s="4">
        <v>92</v>
      </c>
      <c r="H8" s="4">
        <v>96</v>
      </c>
      <c r="I8" s="3" t="s">
        <v>38</v>
      </c>
      <c r="J8" s="3" t="s">
        <v>39</v>
      </c>
      <c r="K8" s="3" t="s">
        <v>18</v>
      </c>
    </row>
    <row r="9" spans="1:11">
      <c r="A9" s="2" t="s">
        <v>40</v>
      </c>
      <c r="B9" s="2" t="s">
        <v>41</v>
      </c>
      <c r="C9" s="2" t="s">
        <v>13</v>
      </c>
      <c r="D9" s="2" t="s">
        <v>36</v>
      </c>
      <c r="E9" s="2" t="s">
        <v>37</v>
      </c>
      <c r="F9" s="5">
        <v>79</v>
      </c>
      <c r="G9" s="5">
        <v>81</v>
      </c>
      <c r="H9" s="5">
        <v>88</v>
      </c>
      <c r="I9" s="2" t="s">
        <v>42</v>
      </c>
      <c r="J9" s="2" t="s">
        <v>43</v>
      </c>
      <c r="K9" s="2" t="s">
        <v>18</v>
      </c>
    </row>
    <row r="10" spans="1:11">
      <c r="A10" s="3" t="s">
        <v>44</v>
      </c>
      <c r="B10" s="3" t="s">
        <v>45</v>
      </c>
      <c r="C10" s="3" t="s">
        <v>21</v>
      </c>
      <c r="D10" s="3" t="s">
        <v>46</v>
      </c>
      <c r="E10" s="3" t="s">
        <v>47</v>
      </c>
      <c r="F10" s="4">
        <v>95</v>
      </c>
      <c r="G10" s="4">
        <v>96</v>
      </c>
      <c r="H10" s="4">
        <v>99</v>
      </c>
      <c r="I10" s="3" t="s">
        <v>48</v>
      </c>
      <c r="J10" s="3" t="s">
        <v>49</v>
      </c>
      <c r="K10" s="3" t="s">
        <v>18</v>
      </c>
    </row>
    <row r="11" spans="1:11">
      <c r="A11" s="2" t="s">
        <v>50</v>
      </c>
      <c r="B11" s="2" t="s">
        <v>51</v>
      </c>
      <c r="C11" s="2" t="s">
        <v>13</v>
      </c>
      <c r="D11" s="2" t="s">
        <v>46</v>
      </c>
      <c r="E11" s="2" t="s">
        <v>47</v>
      </c>
      <c r="F11" s="5">
        <v>80</v>
      </c>
      <c r="G11" s="5">
        <v>83</v>
      </c>
      <c r="H11" s="5">
        <v>91</v>
      </c>
      <c r="I11" s="2" t="s">
        <v>52</v>
      </c>
      <c r="J11" s="2" t="s">
        <v>53</v>
      </c>
      <c r="K11" s="2" t="s">
        <v>18</v>
      </c>
    </row>
    <row r="12" spans="1:11">
      <c r="A12" s="3" t="s">
        <v>54</v>
      </c>
      <c r="B12" s="3" t="s">
        <v>55</v>
      </c>
      <c r="C12" s="3" t="s">
        <v>13</v>
      </c>
      <c r="D12" s="3" t="s">
        <v>56</v>
      </c>
      <c r="E12" s="3" t="s">
        <v>15</v>
      </c>
      <c r="F12" s="4">
        <v>84</v>
      </c>
      <c r="G12" s="4">
        <v>89</v>
      </c>
      <c r="H12" s="4">
        <v>93</v>
      </c>
      <c r="I12" s="3" t="s">
        <v>57</v>
      </c>
      <c r="J12" s="3" t="s">
        <v>58</v>
      </c>
      <c r="K12" s="3" t="s">
        <v>18</v>
      </c>
    </row>
    <row r="13" spans="1:11">
      <c r="A13" s="2" t="s">
        <v>59</v>
      </c>
      <c r="B13" s="2" t="s">
        <v>60</v>
      </c>
      <c r="C13" s="2" t="s">
        <v>21</v>
      </c>
      <c r="D13" s="2" t="s">
        <v>56</v>
      </c>
      <c r="E13" s="2" t="s">
        <v>15</v>
      </c>
      <c r="F13" s="5">
        <v>78</v>
      </c>
      <c r="G13" s="5">
        <v>86</v>
      </c>
      <c r="H13" s="5">
        <v>90</v>
      </c>
      <c r="I13" s="2" t="s">
        <v>61</v>
      </c>
      <c r="J13" s="2" t="s">
        <v>62</v>
      </c>
      <c r="K13" s="2" t="s">
        <v>18</v>
      </c>
    </row>
    <row r="14" spans="1:11">
      <c r="A14" s="3" t="s">
        <v>63</v>
      </c>
      <c r="B14" s="3" t="s">
        <v>64</v>
      </c>
      <c r="C14" s="3" t="s">
        <v>13</v>
      </c>
      <c r="D14" s="3" t="s">
        <v>65</v>
      </c>
      <c r="E14" s="3" t="s">
        <v>66</v>
      </c>
      <c r="F14" s="4">
        <v>89</v>
      </c>
      <c r="G14" s="4">
        <v>91</v>
      </c>
      <c r="H14" s="4">
        <v>97</v>
      </c>
      <c r="I14" s="3" t="s">
        <v>67</v>
      </c>
      <c r="J14" s="3" t="s">
        <v>68</v>
      </c>
      <c r="K14" s="3" t="s">
        <v>18</v>
      </c>
    </row>
    <row r="15" spans="1:11">
      <c r="A15" s="2" t="s">
        <v>69</v>
      </c>
      <c r="B15" s="2" t="s">
        <v>70</v>
      </c>
      <c r="C15" s="2" t="s">
        <v>13</v>
      </c>
      <c r="D15" s="2" t="s">
        <v>65</v>
      </c>
      <c r="E15" s="2" t="s">
        <v>66</v>
      </c>
      <c r="F15" s="5">
        <v>72</v>
      </c>
      <c r="G15" s="5">
        <v>78</v>
      </c>
      <c r="H15" s="5">
        <v>86</v>
      </c>
      <c r="I15" s="2" t="s">
        <v>71</v>
      </c>
      <c r="J15" s="2" t="s">
        <v>72</v>
      </c>
      <c r="K15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I6" sqref="I6"/>
    </sheetView>
  </sheetViews>
  <sheetFormatPr defaultRowHeight="14.5"/>
  <cols>
    <col min="1" max="1" width="19.26953125" customWidth="1"/>
    <col min="2" max="2" width="45" customWidth="1"/>
    <col min="3" max="3" width="26" customWidth="1"/>
    <col min="4" max="4" width="20" customWidth="1"/>
    <col min="5" max="5" width="33.54296875" customWidth="1"/>
    <col min="6" max="6" width="28" customWidth="1"/>
    <col min="7" max="7" width="24" customWidth="1"/>
    <col min="8" max="8" width="23" customWidth="1"/>
    <col min="9" max="9" width="35" customWidth="1"/>
    <col min="10" max="10" width="36.26953125" customWidth="1"/>
  </cols>
  <sheetData>
    <row r="1" spans="1:10" ht="21">
      <c r="A1" s="1" t="s">
        <v>73</v>
      </c>
    </row>
    <row r="3" spans="1:10" s="11" customFormat="1" ht="43.5">
      <c r="A3" s="10" t="s">
        <v>74</v>
      </c>
      <c r="B3" s="10" t="s">
        <v>75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169</v>
      </c>
    </row>
    <row r="4" spans="1:10">
      <c r="A4" s="3" t="s">
        <v>83</v>
      </c>
      <c r="B4" s="3" t="s">
        <v>84</v>
      </c>
      <c r="C4" s="3" t="s">
        <v>14</v>
      </c>
      <c r="D4" s="3" t="s">
        <v>85</v>
      </c>
      <c r="E4" s="3" t="s">
        <v>86</v>
      </c>
      <c r="F4" s="4">
        <v>85</v>
      </c>
      <c r="G4" s="6">
        <v>4</v>
      </c>
      <c r="H4" s="6">
        <v>0</v>
      </c>
      <c r="I4" s="3" t="s">
        <v>87</v>
      </c>
      <c r="J4" t="s">
        <v>170</v>
      </c>
    </row>
    <row r="5" spans="1:10">
      <c r="A5" s="2" t="s">
        <v>88</v>
      </c>
      <c r="B5" s="2" t="s">
        <v>89</v>
      </c>
      <c r="C5" s="2" t="s">
        <v>14</v>
      </c>
      <c r="D5" s="2" t="s">
        <v>90</v>
      </c>
      <c r="E5" s="2" t="s">
        <v>91</v>
      </c>
      <c r="F5" s="5">
        <v>75</v>
      </c>
      <c r="G5" s="7">
        <v>5</v>
      </c>
      <c r="H5" s="7">
        <v>0</v>
      </c>
      <c r="I5" s="2" t="s">
        <v>92</v>
      </c>
      <c r="J5" t="s">
        <v>170</v>
      </c>
    </row>
    <row r="6" spans="1:10">
      <c r="A6" s="3" t="s">
        <v>93</v>
      </c>
      <c r="B6" s="3" t="s">
        <v>94</v>
      </c>
      <c r="C6" s="3" t="s">
        <v>26</v>
      </c>
      <c r="D6" s="3" t="s">
        <v>85</v>
      </c>
      <c r="E6" s="3" t="s">
        <v>95</v>
      </c>
      <c r="F6" s="4">
        <v>80</v>
      </c>
      <c r="G6" s="6">
        <v>3</v>
      </c>
      <c r="H6" s="6">
        <v>0</v>
      </c>
      <c r="I6" s="3" t="s">
        <v>96</v>
      </c>
      <c r="J6" t="s">
        <v>170</v>
      </c>
    </row>
    <row r="7" spans="1:10">
      <c r="A7" s="2" t="s">
        <v>97</v>
      </c>
      <c r="B7" s="2" t="s">
        <v>98</v>
      </c>
      <c r="C7" s="2" t="s">
        <v>26</v>
      </c>
      <c r="D7" s="2" t="s">
        <v>90</v>
      </c>
      <c r="E7" s="2" t="s">
        <v>99</v>
      </c>
      <c r="F7" s="5">
        <v>70</v>
      </c>
      <c r="G7" s="7">
        <v>6</v>
      </c>
      <c r="H7" s="7">
        <v>0</v>
      </c>
      <c r="I7" s="2" t="s">
        <v>100</v>
      </c>
      <c r="J7" t="s">
        <v>170</v>
      </c>
    </row>
    <row r="8" spans="1:10">
      <c r="A8" s="3" t="s">
        <v>101</v>
      </c>
      <c r="B8" s="3" t="s">
        <v>102</v>
      </c>
      <c r="C8" s="3" t="s">
        <v>36</v>
      </c>
      <c r="D8" s="3" t="s">
        <v>90</v>
      </c>
      <c r="E8" s="3" t="s">
        <v>103</v>
      </c>
      <c r="F8" s="4">
        <v>75</v>
      </c>
      <c r="G8" s="6">
        <v>4</v>
      </c>
      <c r="H8" s="6">
        <v>0</v>
      </c>
      <c r="I8" s="3" t="s">
        <v>104</v>
      </c>
      <c r="J8" t="s">
        <v>170</v>
      </c>
    </row>
    <row r="9" spans="1:10">
      <c r="A9" s="2" t="s">
        <v>105</v>
      </c>
      <c r="B9" s="2" t="s">
        <v>106</v>
      </c>
      <c r="C9" s="2" t="s">
        <v>46</v>
      </c>
      <c r="D9" s="2" t="s">
        <v>85</v>
      </c>
      <c r="E9" s="2" t="s">
        <v>107</v>
      </c>
      <c r="F9" s="5">
        <v>85</v>
      </c>
      <c r="G9" s="7">
        <v>3</v>
      </c>
      <c r="H9" s="7">
        <v>0</v>
      </c>
      <c r="I9" s="2" t="s">
        <v>108</v>
      </c>
      <c r="J9" t="s">
        <v>170</v>
      </c>
    </row>
    <row r="10" spans="1:10">
      <c r="A10" s="3" t="s">
        <v>109</v>
      </c>
      <c r="B10" s="3" t="s">
        <v>110</v>
      </c>
      <c r="C10" s="3" t="s">
        <v>56</v>
      </c>
      <c r="D10" s="3" t="s">
        <v>85</v>
      </c>
      <c r="E10" s="3" t="s">
        <v>111</v>
      </c>
      <c r="F10" s="4">
        <v>80</v>
      </c>
      <c r="G10" s="6">
        <v>4</v>
      </c>
      <c r="H10" s="6">
        <v>0</v>
      </c>
      <c r="I10" s="3" t="s">
        <v>112</v>
      </c>
      <c r="J10" t="s">
        <v>170</v>
      </c>
    </row>
    <row r="11" spans="1:10">
      <c r="A11" s="2" t="s">
        <v>113</v>
      </c>
      <c r="B11" s="2" t="s">
        <v>114</v>
      </c>
      <c r="C11" s="2" t="s">
        <v>65</v>
      </c>
      <c r="D11" s="2" t="s">
        <v>90</v>
      </c>
      <c r="E11" s="2" t="s">
        <v>115</v>
      </c>
      <c r="F11" s="5">
        <v>75</v>
      </c>
      <c r="G11" s="7">
        <v>5</v>
      </c>
      <c r="H11" s="7">
        <v>0</v>
      </c>
      <c r="I11" s="2" t="s">
        <v>116</v>
      </c>
      <c r="J11" t="s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E4" sqref="E4:E13"/>
    </sheetView>
  </sheetViews>
  <sheetFormatPr defaultRowHeight="14.5"/>
  <cols>
    <col min="1" max="1" width="19.7265625" customWidth="1"/>
    <col min="2" max="3" width="14" customWidth="1"/>
    <col min="4" max="4" width="19" customWidth="1"/>
    <col min="5" max="5" width="43" customWidth="1"/>
    <col min="6" max="6" width="42" customWidth="1"/>
    <col min="7" max="7" width="26" customWidth="1"/>
    <col min="8" max="8" width="32" customWidth="1"/>
    <col min="9" max="9" width="34" customWidth="1"/>
  </cols>
  <sheetData>
    <row r="1" spans="1:9" ht="21">
      <c r="A1" s="1" t="s">
        <v>117</v>
      </c>
    </row>
    <row r="3" spans="1:9" s="11" customFormat="1">
      <c r="A3" s="10" t="s">
        <v>118</v>
      </c>
      <c r="B3" s="10" t="s">
        <v>1</v>
      </c>
      <c r="C3" s="10" t="s">
        <v>74</v>
      </c>
      <c r="D3" s="10" t="s">
        <v>119</v>
      </c>
      <c r="E3" s="10" t="s">
        <v>120</v>
      </c>
      <c r="F3" s="10" t="s">
        <v>121</v>
      </c>
      <c r="G3" s="10" t="s">
        <v>122</v>
      </c>
      <c r="H3" s="10" t="s">
        <v>123</v>
      </c>
      <c r="I3" s="10" t="s">
        <v>124</v>
      </c>
    </row>
    <row r="4" spans="1:9">
      <c r="A4" s="3" t="s">
        <v>125</v>
      </c>
      <c r="B4" s="3" t="s">
        <v>19</v>
      </c>
      <c r="C4" s="3" t="s">
        <v>83</v>
      </c>
      <c r="D4" s="3" t="s">
        <v>126</v>
      </c>
      <c r="E4" s="3" t="s">
        <v>172</v>
      </c>
      <c r="F4" s="3" t="s">
        <v>171</v>
      </c>
      <c r="G4" s="6">
        <v>36</v>
      </c>
      <c r="H4" s="8">
        <v>1250</v>
      </c>
      <c r="I4" s="3" t="s">
        <v>127</v>
      </c>
    </row>
    <row r="5" spans="1:9">
      <c r="A5" s="2" t="s">
        <v>128</v>
      </c>
      <c r="B5" s="2" t="s">
        <v>11</v>
      </c>
      <c r="C5" s="2" t="s">
        <v>88</v>
      </c>
      <c r="D5" s="2" t="s">
        <v>129</v>
      </c>
      <c r="E5" s="3" t="s">
        <v>172</v>
      </c>
      <c r="F5" s="3" t="s">
        <v>171</v>
      </c>
      <c r="G5" s="7">
        <v>28</v>
      </c>
      <c r="H5" s="9">
        <v>850</v>
      </c>
      <c r="I5" s="2" t="s">
        <v>127</v>
      </c>
    </row>
    <row r="6" spans="1:9">
      <c r="A6" s="3" t="s">
        <v>130</v>
      </c>
      <c r="B6" s="3" t="s">
        <v>24</v>
      </c>
      <c r="C6" s="3" t="s">
        <v>93</v>
      </c>
      <c r="D6" s="3" t="s">
        <v>131</v>
      </c>
      <c r="E6" s="3" t="s">
        <v>172</v>
      </c>
      <c r="F6" s="3" t="s">
        <v>171</v>
      </c>
      <c r="G6" s="6">
        <v>40</v>
      </c>
      <c r="H6" s="8">
        <v>2100</v>
      </c>
      <c r="I6" s="3" t="s">
        <v>127</v>
      </c>
    </row>
    <row r="7" spans="1:9">
      <c r="A7" s="2" t="s">
        <v>132</v>
      </c>
      <c r="B7" s="2" t="s">
        <v>34</v>
      </c>
      <c r="C7" s="2" t="s">
        <v>101</v>
      </c>
      <c r="D7" s="2" t="s">
        <v>133</v>
      </c>
      <c r="E7" s="3" t="s">
        <v>172</v>
      </c>
      <c r="F7" s="3" t="s">
        <v>171</v>
      </c>
      <c r="G7" s="7">
        <v>32</v>
      </c>
      <c r="H7" s="9">
        <v>1800</v>
      </c>
      <c r="I7" s="2" t="s">
        <v>127</v>
      </c>
    </row>
    <row r="8" spans="1:9">
      <c r="A8" s="3" t="s">
        <v>134</v>
      </c>
      <c r="B8" s="3" t="s">
        <v>44</v>
      </c>
      <c r="C8" s="3" t="s">
        <v>105</v>
      </c>
      <c r="D8" s="3" t="s">
        <v>133</v>
      </c>
      <c r="E8" s="3" t="s">
        <v>172</v>
      </c>
      <c r="F8" s="3" t="s">
        <v>171</v>
      </c>
      <c r="G8" s="6">
        <v>45</v>
      </c>
      <c r="H8" s="8">
        <v>0</v>
      </c>
      <c r="I8" s="3" t="s">
        <v>127</v>
      </c>
    </row>
    <row r="9" spans="1:9">
      <c r="A9" s="2" t="s">
        <v>135</v>
      </c>
      <c r="B9" s="2" t="s">
        <v>54</v>
      </c>
      <c r="C9" s="2" t="s">
        <v>109</v>
      </c>
      <c r="D9" s="2" t="s">
        <v>136</v>
      </c>
      <c r="E9" s="3" t="s">
        <v>172</v>
      </c>
      <c r="F9" s="3" t="s">
        <v>171</v>
      </c>
      <c r="G9" s="7">
        <v>38</v>
      </c>
      <c r="H9" s="9">
        <v>3400</v>
      </c>
      <c r="I9" s="2" t="s">
        <v>127</v>
      </c>
    </row>
    <row r="10" spans="1:9">
      <c r="A10" s="3" t="s">
        <v>137</v>
      </c>
      <c r="B10" s="3" t="s">
        <v>63</v>
      </c>
      <c r="C10" s="3" t="s">
        <v>113</v>
      </c>
      <c r="D10" s="3" t="s">
        <v>138</v>
      </c>
      <c r="E10" s="3" t="s">
        <v>172</v>
      </c>
      <c r="F10" s="3" t="s">
        <v>171</v>
      </c>
      <c r="G10" s="6">
        <v>30</v>
      </c>
      <c r="H10" s="8">
        <v>2900</v>
      </c>
      <c r="I10" s="3" t="s">
        <v>127</v>
      </c>
    </row>
    <row r="11" spans="1:9">
      <c r="A11" s="2" t="s">
        <v>139</v>
      </c>
      <c r="B11" s="2" t="s">
        <v>30</v>
      </c>
      <c r="C11" s="2" t="s">
        <v>97</v>
      </c>
      <c r="D11" s="2" t="s">
        <v>138</v>
      </c>
      <c r="E11" s="3" t="s">
        <v>172</v>
      </c>
      <c r="F11" s="3" t="s">
        <v>171</v>
      </c>
      <c r="G11" s="7">
        <v>24</v>
      </c>
      <c r="H11" s="9">
        <v>1100</v>
      </c>
      <c r="I11" s="2" t="s">
        <v>127</v>
      </c>
    </row>
    <row r="12" spans="1:9">
      <c r="A12" s="3" t="s">
        <v>140</v>
      </c>
      <c r="B12" s="3" t="s">
        <v>40</v>
      </c>
      <c r="C12" s="3" t="s">
        <v>101</v>
      </c>
      <c r="D12" s="3" t="s">
        <v>141</v>
      </c>
      <c r="E12" s="3" t="s">
        <v>172</v>
      </c>
      <c r="F12" s="3" t="s">
        <v>171</v>
      </c>
      <c r="G12" s="6">
        <v>28</v>
      </c>
      <c r="H12" s="8">
        <v>1750</v>
      </c>
      <c r="I12" s="3" t="s">
        <v>127</v>
      </c>
    </row>
    <row r="13" spans="1:9">
      <c r="A13" s="2" t="s">
        <v>142</v>
      </c>
      <c r="B13" s="2" t="s">
        <v>50</v>
      </c>
      <c r="C13" s="2" t="s">
        <v>105</v>
      </c>
      <c r="D13" s="2" t="s">
        <v>143</v>
      </c>
      <c r="E13" s="3" t="s">
        <v>172</v>
      </c>
      <c r="F13" s="3" t="s">
        <v>171</v>
      </c>
      <c r="G13" s="7">
        <v>30</v>
      </c>
      <c r="H13" s="9">
        <v>0</v>
      </c>
      <c r="I13" s="2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D13" sqref="D13"/>
    </sheetView>
  </sheetViews>
  <sheetFormatPr defaultRowHeight="14.5"/>
  <cols>
    <col min="1" max="1" width="16.453125" customWidth="1"/>
    <col min="2" max="2" width="33.36328125" customWidth="1"/>
    <col min="3" max="3" width="36" customWidth="1"/>
    <col min="4" max="4" width="35" customWidth="1"/>
    <col min="5" max="5" width="36" customWidth="1"/>
    <col min="6" max="6" width="34" customWidth="1"/>
    <col min="7" max="7" width="25" customWidth="1"/>
    <col min="8" max="8" width="18" customWidth="1"/>
    <col min="9" max="9" width="37" customWidth="1"/>
    <col min="10" max="10" width="81.90625" customWidth="1"/>
  </cols>
  <sheetData>
    <row r="1" spans="1:10" ht="21">
      <c r="A1" s="1" t="s">
        <v>144</v>
      </c>
    </row>
    <row r="3" spans="1:10" s="11" customFormat="1">
      <c r="A3" s="10" t="s">
        <v>118</v>
      </c>
      <c r="B3" s="10" t="s">
        <v>145</v>
      </c>
      <c r="C3" s="10" t="s">
        <v>146</v>
      </c>
      <c r="D3" s="10" t="s">
        <v>147</v>
      </c>
      <c r="E3" s="10" t="s">
        <v>148</v>
      </c>
      <c r="F3" s="10" t="s">
        <v>149</v>
      </c>
      <c r="G3" s="10" t="s">
        <v>150</v>
      </c>
      <c r="H3" s="10" t="s">
        <v>151</v>
      </c>
      <c r="I3" s="10" t="s">
        <v>152</v>
      </c>
      <c r="J3" s="10" t="s">
        <v>153</v>
      </c>
    </row>
    <row r="4" spans="1:10">
      <c r="A4" s="3" t="s">
        <v>125</v>
      </c>
      <c r="B4" s="6">
        <v>24</v>
      </c>
      <c r="C4" s="6">
        <v>25</v>
      </c>
      <c r="D4" s="6">
        <v>15</v>
      </c>
      <c r="E4" s="6">
        <v>14</v>
      </c>
      <c r="F4" s="6">
        <v>18</v>
      </c>
      <c r="G4" s="6">
        <f t="shared" ref="G4:G13" si="0">SUM(B4:F4)</f>
        <v>96</v>
      </c>
      <c r="H4" s="3" t="s">
        <v>154</v>
      </c>
      <c r="I4" s="4">
        <v>0.94</v>
      </c>
      <c r="J4" s="3" t="s">
        <v>155</v>
      </c>
    </row>
    <row r="5" spans="1:10">
      <c r="A5" s="2" t="s">
        <v>128</v>
      </c>
      <c r="B5" s="7">
        <v>21</v>
      </c>
      <c r="C5" s="7">
        <v>22</v>
      </c>
      <c r="D5" s="7">
        <v>14</v>
      </c>
      <c r="E5" s="7">
        <v>12</v>
      </c>
      <c r="F5" s="7">
        <v>16</v>
      </c>
      <c r="G5" s="7">
        <f t="shared" si="0"/>
        <v>85</v>
      </c>
      <c r="H5" s="2" t="s">
        <v>156</v>
      </c>
      <c r="I5" s="5">
        <v>0.88</v>
      </c>
      <c r="J5" s="2" t="s">
        <v>157</v>
      </c>
    </row>
    <row r="6" spans="1:10">
      <c r="A6" s="3" t="s">
        <v>130</v>
      </c>
      <c r="B6" s="6">
        <v>22</v>
      </c>
      <c r="C6" s="6">
        <v>23</v>
      </c>
      <c r="D6" s="6">
        <v>14</v>
      </c>
      <c r="E6" s="6">
        <v>13</v>
      </c>
      <c r="F6" s="6">
        <v>17</v>
      </c>
      <c r="G6" s="6">
        <f t="shared" si="0"/>
        <v>89</v>
      </c>
      <c r="H6" s="3" t="s">
        <v>154</v>
      </c>
      <c r="I6" s="4">
        <v>0.91</v>
      </c>
      <c r="J6" s="3" t="s">
        <v>158</v>
      </c>
    </row>
    <row r="7" spans="1:10">
      <c r="A7" s="2" t="s">
        <v>132</v>
      </c>
      <c r="B7" s="7">
        <v>23</v>
      </c>
      <c r="C7" s="7">
        <v>24</v>
      </c>
      <c r="D7" s="7">
        <v>15</v>
      </c>
      <c r="E7" s="7">
        <v>13</v>
      </c>
      <c r="F7" s="7">
        <v>18</v>
      </c>
      <c r="G7" s="7">
        <f t="shared" si="0"/>
        <v>93</v>
      </c>
      <c r="H7" s="2" t="s">
        <v>154</v>
      </c>
      <c r="I7" s="5">
        <v>0.93</v>
      </c>
      <c r="J7" s="2" t="s">
        <v>159</v>
      </c>
    </row>
    <row r="8" spans="1:10">
      <c r="A8" s="3" t="s">
        <v>134</v>
      </c>
      <c r="B8" s="6">
        <v>25</v>
      </c>
      <c r="C8" s="6">
        <v>25</v>
      </c>
      <c r="D8" s="6">
        <v>15</v>
      </c>
      <c r="E8" s="6">
        <v>15</v>
      </c>
      <c r="F8" s="6">
        <v>19</v>
      </c>
      <c r="G8" s="6">
        <f t="shared" si="0"/>
        <v>99</v>
      </c>
      <c r="H8" s="3" t="s">
        <v>154</v>
      </c>
      <c r="I8" s="4">
        <v>0.97</v>
      </c>
      <c r="J8" s="3" t="s">
        <v>160</v>
      </c>
    </row>
    <row r="9" spans="1:10">
      <c r="A9" s="2" t="s">
        <v>135</v>
      </c>
      <c r="B9" s="7">
        <v>22</v>
      </c>
      <c r="C9" s="7">
        <v>22</v>
      </c>
      <c r="D9" s="7">
        <v>14</v>
      </c>
      <c r="E9" s="7">
        <v>13</v>
      </c>
      <c r="F9" s="7">
        <v>16</v>
      </c>
      <c r="G9" s="7">
        <f t="shared" si="0"/>
        <v>87</v>
      </c>
      <c r="H9" s="2" t="s">
        <v>156</v>
      </c>
      <c r="I9" s="5">
        <v>0.89</v>
      </c>
      <c r="J9" s="2" t="s">
        <v>161</v>
      </c>
    </row>
    <row r="10" spans="1:10">
      <c r="A10" s="3" t="s">
        <v>137</v>
      </c>
      <c r="B10" s="6">
        <v>23</v>
      </c>
      <c r="C10" s="6">
        <v>23</v>
      </c>
      <c r="D10" s="6">
        <v>15</v>
      </c>
      <c r="E10" s="6">
        <v>14</v>
      </c>
      <c r="F10" s="6">
        <v>17</v>
      </c>
      <c r="G10" s="6">
        <f t="shared" si="0"/>
        <v>92</v>
      </c>
      <c r="H10" s="3" t="s">
        <v>154</v>
      </c>
      <c r="I10" s="4">
        <v>0.92</v>
      </c>
      <c r="J10" s="3" t="s">
        <v>162</v>
      </c>
    </row>
    <row r="11" spans="1:10">
      <c r="A11" s="2" t="s">
        <v>139</v>
      </c>
      <c r="B11" s="7">
        <v>17</v>
      </c>
      <c r="C11" s="7">
        <v>18</v>
      </c>
      <c r="D11" s="7">
        <v>12</v>
      </c>
      <c r="E11" s="7">
        <v>10</v>
      </c>
      <c r="F11" s="7">
        <v>14</v>
      </c>
      <c r="G11" s="7">
        <f t="shared" si="0"/>
        <v>71</v>
      </c>
      <c r="H11" s="2" t="s">
        <v>163</v>
      </c>
      <c r="I11" s="5">
        <v>0.72</v>
      </c>
      <c r="J11" s="2" t="s">
        <v>164</v>
      </c>
    </row>
    <row r="12" spans="1:10">
      <c r="A12" s="3" t="s">
        <v>140</v>
      </c>
      <c r="B12" s="6">
        <v>19</v>
      </c>
      <c r="C12" s="6">
        <v>20</v>
      </c>
      <c r="D12" s="6">
        <v>13</v>
      </c>
      <c r="E12" s="6">
        <v>11</v>
      </c>
      <c r="F12" s="6">
        <v>15</v>
      </c>
      <c r="G12" s="6">
        <f t="shared" si="0"/>
        <v>78</v>
      </c>
      <c r="H12" s="3" t="s">
        <v>165</v>
      </c>
      <c r="I12" s="4">
        <v>0.81</v>
      </c>
      <c r="J12" s="3" t="s">
        <v>166</v>
      </c>
    </row>
    <row r="13" spans="1:10">
      <c r="A13" s="2" t="s">
        <v>142</v>
      </c>
      <c r="B13" s="7">
        <v>20</v>
      </c>
      <c r="C13" s="7">
        <v>21</v>
      </c>
      <c r="D13" s="7">
        <v>14</v>
      </c>
      <c r="E13" s="7">
        <v>12</v>
      </c>
      <c r="F13" s="7">
        <v>16</v>
      </c>
      <c r="G13" s="7">
        <f t="shared" si="0"/>
        <v>83</v>
      </c>
      <c r="H13" s="2" t="s">
        <v>156</v>
      </c>
      <c r="I13" s="5">
        <v>0.84</v>
      </c>
      <c r="J13" s="2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Trainee Profiles</vt:lpstr>
      <vt:lpstr>Project Catalog</vt:lpstr>
      <vt:lpstr>Sample Submissions</vt:lpstr>
      <vt:lpstr>Evaluation Rubrics &amp;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Namarata Ghag</cp:lastModifiedBy>
  <dcterms:created xsi:type="dcterms:W3CDTF">2026-10-14T14:06:08Z</dcterms:created>
  <dcterms:modified xsi:type="dcterms:W3CDTF">2026-10-15T16:13:19Z</dcterms:modified>
</cp:coreProperties>
</file>